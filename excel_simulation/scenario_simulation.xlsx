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Baseline" sheetId="1" state="visible" r:id="rId1"/>
    <sheet xmlns:r="http://schemas.openxmlformats.org/officeDocument/2006/relationships" name="Scenario Simulator" sheetId="2" state="visible" r:id="rId2"/>
    <sheet xmlns:r="http://schemas.openxmlformats.org/officeDocument/2006/relationships" name="Category Profitability" sheetId="3" state="visible" r:id="rId3"/>
    <sheet xmlns:r="http://schemas.openxmlformats.org/officeDocument/2006/relationships" name="Monthly Revenue" sheetId="4" state="visible" r:id="rId4"/>
    <sheet xmlns:r="http://schemas.openxmlformats.org/officeDocument/2006/relationships" name="What-If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+0.0%;-0.0%;0.0%"/>
    <numFmt numFmtId="166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i val="1"/>
      <color rgb="00555555"/>
      <sz val="9"/>
    </font>
    <font>
      <b val="1"/>
      <color rgb="00FFFFFF"/>
      <sz val="12"/>
    </font>
    <font>
      <b val="1"/>
      <color rgb="00155724"/>
      <sz val="10"/>
    </font>
    <font>
      <b val="1"/>
      <color rgb="00721C24"/>
      <sz val="10"/>
    </font>
    <font>
      <b val="1"/>
      <color rgb="005A3E85"/>
      <sz val="10"/>
    </font>
    <font>
      <b val="1"/>
      <color rgb="00FFFFFF"/>
      <sz val="10"/>
    </font>
    <font>
      <color rgb="00155724"/>
      <sz val="10"/>
    </font>
    <font>
      <color rgb="00721C24"/>
      <sz val="10"/>
    </font>
    <font>
      <i val="1"/>
      <color rgb="00555555"/>
      <sz val="10"/>
    </font>
    <font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55724"/>
      </patternFill>
    </fill>
    <fill>
      <patternFill patternType="solid">
        <fgColor rgb="00721C24"/>
      </patternFill>
    </fill>
    <fill>
      <patternFill patternType="solid">
        <fgColor rgb="005A3E85"/>
      </patternFill>
    </fill>
    <fill>
      <patternFill patternType="solid">
        <fgColor rgb="00DEE2E6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3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4" fontId="4" fillId="4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8" borderId="0" pivotButton="0" quotePrefix="0" xfId="0"/>
    <xf numFmtId="0" fontId="3" fillId="3" borderId="1" applyAlignment="1" pivotButton="0" quotePrefix="0" xfId="0">
      <alignment horizontal="left" vertical="center"/>
    </xf>
    <xf numFmtId="3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12" fillId="10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center" vertical="center"/>
    </xf>
    <xf numFmtId="0" fontId="13" fillId="0" borderId="0" pivotButton="0" quotePrefix="0" xfId="0"/>
    <xf numFmtId="0" fontId="3" fillId="11" borderId="1" pivotButton="0" quotePrefix="0" xfId="0"/>
    <xf numFmtId="3" fontId="3" fillId="12" borderId="1" applyAlignment="1" pivotButton="0" quotePrefix="0" xfId="0">
      <alignment horizontal="center"/>
    </xf>
    <xf numFmtId="0" fontId="14" fillId="11" borderId="1" pivotButton="0" quotePrefix="0" xfId="0"/>
    <xf numFmtId="166" fontId="3" fillId="12" borderId="1" applyAlignment="1" pivotButton="0" quotePrefix="0" xfId="0">
      <alignment horizontal="center"/>
    </xf>
    <xf numFmtId="0" fontId="3" fillId="9" borderId="1" pivotButton="0" quotePrefix="0" xfId="0"/>
    <xf numFmtId="4" fontId="7" fillId="9" borderId="1" applyAlignment="1" pivotButton="0" quotePrefix="0" xfId="0">
      <alignment horizontal="center"/>
    </xf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Revenue'!$A$4:$A$27</f>
            </numRef>
          </cat>
          <val>
            <numRef>
              <f>'Monthly Revenue'!$B$4:$B$27</f>
            </numRef>
          </val>
        </ser>
        <ser>
          <idx val="1"/>
          <order val="1"/>
          <tx>
            <strRef>
              <f>'Monthly Revenue'!C3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Revenue'!$A$4:$A$27</f>
            </numRef>
          </cat>
          <val>
            <numRef>
              <f>'Monthly Revenue'!$C$4:$C$27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40" customHeight="1">
      <c r="A1" s="1" t="inlineStr">
        <is>
          <t>E-COMMERCE GROWTH &amp; PROFIT ANALYTICS — BASELINE METRICS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 ht="20" customHeight="1">
      <c r="A4" s="3" t="inlineStr">
        <is>
          <t>Total Revenue (R$)</t>
        </is>
      </c>
      <c r="B4" s="4" t="n">
        <v>71732497</v>
      </c>
      <c r="C4" s="5" t="inlineStr">
        <is>
          <t>2 years of orders</t>
        </is>
      </c>
    </row>
    <row r="5" ht="20" customHeight="1">
      <c r="A5" s="6" t="inlineStr">
        <is>
          <t>Total Freight Cost (R$)</t>
        </is>
      </c>
      <c r="B5" s="7" t="n">
        <v>9001654</v>
      </c>
      <c r="C5" s="8" t="inlineStr">
        <is>
          <t>~12.5% of revenue</t>
        </is>
      </c>
    </row>
    <row r="6" ht="20" customHeight="1">
      <c r="A6" s="3" t="inlineStr">
        <is>
          <t>Gross Profit Estimate (R$)</t>
        </is>
      </c>
      <c r="B6" s="4" t="n">
        <v>62730843</v>
      </c>
      <c r="C6" s="5" t="inlineStr">
        <is>
          <t>Revenue − Freight</t>
        </is>
      </c>
    </row>
    <row r="7" ht="20" customHeight="1">
      <c r="A7" s="6" t="inlineStr">
        <is>
          <t>Profit Margin %</t>
        </is>
      </c>
      <c r="B7" s="9" t="n">
        <v>87.5</v>
      </c>
      <c r="C7" s="8" t="inlineStr">
        <is>
          <t>Target: &gt;85%</t>
        </is>
      </c>
    </row>
    <row r="8" ht="20" customHeight="1">
      <c r="A8" s="3" t="inlineStr">
        <is>
          <t>Total Orders</t>
        </is>
      </c>
      <c r="B8" s="4" t="n">
        <v>85746</v>
      </c>
      <c r="C8" s="5" t="inlineStr">
        <is>
          <t>Excluding cancelled</t>
        </is>
      </c>
    </row>
    <row r="9" ht="20" customHeight="1">
      <c r="A9" s="6" t="inlineStr">
        <is>
          <t>Unique Customers</t>
        </is>
      </c>
      <c r="B9" s="7" t="n">
        <v>9998</v>
      </c>
      <c r="C9" s="8" t="inlineStr">
        <is>
          <t>Acquired over 2 years</t>
        </is>
      </c>
    </row>
    <row r="10" ht="20" customHeight="1">
      <c r="A10" s="3" t="inlineStr">
        <is>
          <t>Average Order Value (R$)</t>
        </is>
      </c>
      <c r="B10" s="4" t="n">
        <v>837</v>
      </c>
      <c r="C10" s="5" t="inlineStr">
        <is>
          <t>Per order</t>
        </is>
      </c>
    </row>
    <row r="11" ht="20" customHeight="1">
      <c r="A11" s="6" t="inlineStr">
        <is>
          <t>Repeat Purchase Rate %</t>
        </is>
      </c>
      <c r="B11" s="9" t="n">
        <v>99.90000000000001</v>
      </c>
      <c r="C11" s="8" t="inlineStr">
        <is>
          <t>Very high (loyal base)</t>
        </is>
      </c>
    </row>
    <row r="12" ht="20" customHeight="1">
      <c r="A12" s="3" t="inlineStr">
        <is>
          <t>Avg Review Score</t>
        </is>
      </c>
      <c r="B12" s="10" t="n">
        <v>4.1</v>
      </c>
      <c r="C12" s="5" t="inlineStr">
        <is>
          <t>Out of 5.0</t>
        </is>
      </c>
    </row>
    <row r="13" ht="20" customHeight="1">
      <c r="A13" s="6" t="inlineStr">
        <is>
          <t>Avg Delivery Days</t>
        </is>
      </c>
      <c r="B13" s="9" t="n">
        <v>11.6</v>
      </c>
      <c r="C13" s="8" t="inlineStr">
        <is>
          <t>From order to delivery</t>
        </is>
      </c>
    </row>
    <row r="14" ht="20" customHeight="1">
      <c r="A14" s="3" t="inlineStr">
        <is>
          <t>Top Category</t>
        </is>
      </c>
      <c r="B14" s="11" t="inlineStr">
        <is>
          <t>Electronics</t>
        </is>
      </c>
      <c r="C14" s="5" t="inlineStr">
        <is>
          <t>42% of total revenue</t>
        </is>
      </c>
    </row>
    <row r="15" ht="20" customHeight="1">
      <c r="A15" s="6" t="inlineStr">
        <is>
          <t>Top Payment Method</t>
        </is>
      </c>
      <c r="B15" s="12" t="inlineStr">
        <is>
          <t>Credit Card</t>
        </is>
      </c>
      <c r="C15" s="8" t="inlineStr">
        <is>
          <t>60% of orders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s="1" t="inlineStr">
        <is>
          <t>SCENARIO SIMULATOR — PROFIT IMPACT ANALYSIS</t>
        </is>
      </c>
    </row>
    <row r="2">
      <c r="C2" s="13" t="inlineStr">
        <is>
          <t>Reduce Freight -10%</t>
        </is>
      </c>
      <c r="D2" s="14" t="inlineStr">
        <is>
          <t>Grow New Customers +10%</t>
        </is>
      </c>
      <c r="E2" s="15" t="inlineStr">
        <is>
          <t>Increase AOV +10%</t>
        </is>
      </c>
    </row>
    <row r="3">
      <c r="A3" s="16" t="inlineStr">
        <is>
          <t>Variable</t>
        </is>
      </c>
      <c r="B3" s="16" t="inlineStr">
        <is>
          <t>Baseline</t>
        </is>
      </c>
      <c r="C3" s="17" t="inlineStr">
        <is>
          <t>Scenario A</t>
        </is>
      </c>
      <c r="D3" s="18" t="inlineStr">
        <is>
          <t>Scenario B</t>
        </is>
      </c>
      <c r="E3" s="19" t="inlineStr">
        <is>
          <t>Scenario C</t>
        </is>
      </c>
    </row>
    <row r="4" ht="22" customHeight="1">
      <c r="A4" s="20" t="inlineStr">
        <is>
          <t>Total Revenue (R$)</t>
        </is>
      </c>
      <c r="B4" s="4" t="n">
        <v>71732497</v>
      </c>
      <c r="C4" s="4" t="n">
        <v>71732497</v>
      </c>
      <c r="D4" s="4" t="n">
        <v>78905747</v>
      </c>
      <c r="E4" s="4" t="n">
        <v>75819285</v>
      </c>
    </row>
    <row r="5" ht="22" customHeight="1">
      <c r="A5" s="21" t="inlineStr">
        <is>
          <t>Freight Cost (R$)</t>
        </is>
      </c>
      <c r="B5" s="7" t="n">
        <v>9001654</v>
      </c>
      <c r="C5" s="7" t="n">
        <v>8101489</v>
      </c>
      <c r="D5" s="7" t="n">
        <v>9001654</v>
      </c>
      <c r="E5" s="7" t="n">
        <v>9001654</v>
      </c>
    </row>
    <row r="6" ht="22" customHeight="1">
      <c r="A6" s="20" t="inlineStr">
        <is>
          <t>Freight % Change</t>
        </is>
      </c>
      <c r="B6" s="11" t="inlineStr">
        <is>
          <t>0%</t>
        </is>
      </c>
      <c r="C6" s="11" t="inlineStr">
        <is>
          <t>-10%</t>
        </is>
      </c>
      <c r="D6" s="11" t="inlineStr">
        <is>
          <t>0%</t>
        </is>
      </c>
      <c r="E6" s="11" t="inlineStr">
        <is>
          <t>0%</t>
        </is>
      </c>
    </row>
    <row r="7" ht="22" customHeight="1">
      <c r="A7" s="21" t="inlineStr">
        <is>
          <t>Avg Order Value (R$)</t>
        </is>
      </c>
      <c r="B7" s="12" t="n">
        <v>837</v>
      </c>
      <c r="C7" s="12" t="n">
        <v>837</v>
      </c>
      <c r="D7" s="12" t="n">
        <v>837</v>
      </c>
      <c r="E7" s="12" t="n">
        <v>920</v>
      </c>
    </row>
    <row r="8" ht="22" customHeight="1">
      <c r="A8" s="20" t="inlineStr">
        <is>
          <t>Repeat Purchase Rate %</t>
        </is>
      </c>
      <c r="B8" s="11" t="n">
        <v>99.90000000000001</v>
      </c>
      <c r="C8" s="11" t="n">
        <v>99.90000000000001</v>
      </c>
      <c r="D8" s="11" t="n">
        <v>99.90000000000001</v>
      </c>
      <c r="E8" s="11" t="n">
        <v>99.90000000000001</v>
      </c>
    </row>
    <row r="9" ht="22" customHeight="1">
      <c r="A9" s="21" t="inlineStr">
        <is>
          <t>New Customers Acquired</t>
        </is>
      </c>
      <c r="B9" s="7" t="n">
        <v>9998</v>
      </c>
      <c r="C9" s="7" t="n">
        <v>9998</v>
      </c>
      <c r="D9" s="7" t="n">
        <v>10998</v>
      </c>
      <c r="E9" s="7" t="n">
        <v>9998</v>
      </c>
    </row>
    <row r="10" ht="22" customHeight="1">
      <c r="A10" s="20" t="inlineStr">
        <is>
          <t>Orders Volume</t>
        </is>
      </c>
      <c r="B10" s="4" t="n">
        <v>85746</v>
      </c>
      <c r="C10" s="4" t="n">
        <v>85746</v>
      </c>
      <c r="D10" s="4" t="n">
        <v>94321</v>
      </c>
      <c r="E10" s="4" t="n">
        <v>85746</v>
      </c>
    </row>
    <row r="11" ht="22" customHeight="1">
      <c r="A11" s="22" t="n"/>
      <c r="B11" s="22" t="n"/>
      <c r="C11" s="22" t="n"/>
      <c r="D11" s="22" t="n"/>
      <c r="E11" s="22" t="n"/>
    </row>
    <row r="12" ht="22" customHeight="1">
      <c r="A12" s="23" t="inlineStr">
        <is>
          <t>GROSS PROFIT (R$)</t>
        </is>
      </c>
      <c r="B12" s="24" t="n">
        <v>62730843</v>
      </c>
      <c r="C12" s="24" t="n">
        <v>63630000</v>
      </c>
      <c r="D12" s="24" t="n">
        <v>69904093</v>
      </c>
      <c r="E12" s="24" t="n">
        <v>66817631</v>
      </c>
    </row>
    <row r="13" ht="22" customHeight="1">
      <c r="A13" s="21" t="inlineStr">
        <is>
          <t>Profit vs Baseline (R$)</t>
        </is>
      </c>
      <c r="B13" s="12" t="n">
        <v>0</v>
      </c>
      <c r="C13" s="24" t="n">
        <v>899157</v>
      </c>
      <c r="D13" s="24" t="n">
        <v>7173250</v>
      </c>
      <c r="E13" s="24" t="n">
        <v>4086788</v>
      </c>
    </row>
    <row r="14" ht="22" customHeight="1">
      <c r="A14" s="20" t="inlineStr">
        <is>
          <t>Profit Improvement %</t>
        </is>
      </c>
      <c r="B14" s="11" t="inlineStr">
        <is>
          <t>0%</t>
        </is>
      </c>
      <c r="C14" s="25" t="inlineStr">
        <is>
          <t>+1.4%</t>
        </is>
      </c>
      <c r="D14" s="25" t="inlineStr">
        <is>
          <t>+11.4%</t>
        </is>
      </c>
      <c r="E14" s="25" t="inlineStr">
        <is>
          <t>+6.5%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CATEGORY PROFITABILITY ANALYSIS</t>
        </is>
      </c>
    </row>
    <row r="3">
      <c r="A3" s="26" t="inlineStr">
        <is>
          <t>Category</t>
        </is>
      </c>
      <c r="B3" s="26" t="inlineStr">
        <is>
          <t>Revenue (R$)</t>
        </is>
      </c>
      <c r="C3" s="26" t="inlineStr">
        <is>
          <t>Freight (R$)</t>
        </is>
      </c>
      <c r="D3" s="26" t="inlineStr">
        <is>
          <t>Profit (R$)</t>
        </is>
      </c>
      <c r="E3" s="26" t="inlineStr">
        <is>
          <t>Margin %</t>
        </is>
      </c>
      <c r="F3" s="26" t="inlineStr">
        <is>
          <t>Freight %</t>
        </is>
      </c>
      <c r="G3" s="26" t="inlineStr">
        <is>
          <t>Orders</t>
        </is>
      </c>
    </row>
    <row r="4" ht="20" customHeight="1">
      <c r="A4" s="20" t="inlineStr">
        <is>
          <t>electronics</t>
        </is>
      </c>
      <c r="B4" s="4" t="n">
        <v>30559170</v>
      </c>
      <c r="C4" s="4" t="n">
        <v>3815476</v>
      </c>
      <c r="D4" s="4" t="n">
        <v>26743694</v>
      </c>
      <c r="E4" s="27" t="n">
        <v>87.5</v>
      </c>
      <c r="F4" s="28" t="n">
        <v>12.5</v>
      </c>
      <c r="G4" s="4" t="n">
        <v>22410</v>
      </c>
    </row>
    <row r="5" ht="20" customHeight="1">
      <c r="A5" s="21" t="inlineStr">
        <is>
          <t>furniture</t>
        </is>
      </c>
      <c r="B5" s="7" t="n">
        <v>15804900</v>
      </c>
      <c r="C5" s="7" t="n">
        <v>1965403</v>
      </c>
      <c r="D5" s="7" t="n">
        <v>13839497</v>
      </c>
      <c r="E5" s="27" t="n">
        <v>87.59999999999999</v>
      </c>
      <c r="F5" s="29" t="n">
        <v>12.4</v>
      </c>
      <c r="G5" s="7" t="n">
        <v>8932</v>
      </c>
    </row>
    <row r="6" ht="20" customHeight="1">
      <c r="A6" s="20" t="inlineStr">
        <is>
          <t>sports_leisure</t>
        </is>
      </c>
      <c r="B6" s="4" t="n">
        <v>5383031</v>
      </c>
      <c r="C6" s="4" t="n">
        <v>676896</v>
      </c>
      <c r="D6" s="4" t="n">
        <v>4706135</v>
      </c>
      <c r="E6" s="27" t="n">
        <v>87.40000000000001</v>
      </c>
      <c r="F6" s="28" t="n">
        <v>12.6</v>
      </c>
      <c r="G6" s="4" t="n">
        <v>4201</v>
      </c>
    </row>
    <row r="7" ht="20" customHeight="1">
      <c r="A7" s="21" t="inlineStr">
        <is>
          <t>home_decor</t>
        </is>
      </c>
      <c r="B7" s="7" t="n">
        <v>4286103</v>
      </c>
      <c r="C7" s="7" t="n">
        <v>536920</v>
      </c>
      <c r="D7" s="7" t="n">
        <v>3749183</v>
      </c>
      <c r="E7" s="27" t="n">
        <v>87.5</v>
      </c>
      <c r="F7" s="29" t="n">
        <v>12.5</v>
      </c>
      <c r="G7" s="7" t="n">
        <v>3876</v>
      </c>
    </row>
    <row r="8" ht="20" customHeight="1">
      <c r="A8" s="20" t="inlineStr">
        <is>
          <t>clothing_accessories</t>
        </is>
      </c>
      <c r="B8" s="4" t="n">
        <v>4196665</v>
      </c>
      <c r="C8" s="4" t="n">
        <v>530477</v>
      </c>
      <c r="D8" s="4" t="n">
        <v>3666188</v>
      </c>
      <c r="E8" s="27" t="n">
        <v>87.40000000000001</v>
      </c>
      <c r="F8" s="28" t="n">
        <v>12.6</v>
      </c>
      <c r="G8" s="4" t="n">
        <v>5241</v>
      </c>
    </row>
    <row r="9" ht="20" customHeight="1">
      <c r="A9" s="21" t="inlineStr">
        <is>
          <t>automotive</t>
        </is>
      </c>
      <c r="B9" s="7" t="n">
        <v>2829605</v>
      </c>
      <c r="C9" s="7" t="n">
        <v>354364</v>
      </c>
      <c r="D9" s="7" t="n">
        <v>2475241</v>
      </c>
      <c r="E9" s="27" t="n">
        <v>87.5</v>
      </c>
      <c r="F9" s="29" t="n">
        <v>12.5</v>
      </c>
      <c r="G9" s="7" t="n">
        <v>2109</v>
      </c>
    </row>
    <row r="10" ht="20" customHeight="1">
      <c r="A10" s="20" t="inlineStr">
        <is>
          <t>kitchen_utilities</t>
        </is>
      </c>
      <c r="B10" s="4" t="n">
        <v>1743186</v>
      </c>
      <c r="C10" s="4" t="n">
        <v>218623</v>
      </c>
      <c r="D10" s="4" t="n">
        <v>1524563</v>
      </c>
      <c r="E10" s="27" t="n">
        <v>87.5</v>
      </c>
      <c r="F10" s="28" t="n">
        <v>12.5</v>
      </c>
      <c r="G10" s="4" t="n">
        <v>1876</v>
      </c>
    </row>
    <row r="11" ht="20" customHeight="1">
      <c r="A11" s="21" t="inlineStr">
        <is>
          <t>beauty_perfumery</t>
        </is>
      </c>
      <c r="B11" s="7" t="n">
        <v>1726369</v>
      </c>
      <c r="C11" s="7" t="n">
        <v>222317</v>
      </c>
      <c r="D11" s="7" t="n">
        <v>1504053</v>
      </c>
      <c r="E11" s="27" t="n">
        <v>87.09999999999999</v>
      </c>
      <c r="F11" s="29" t="n">
        <v>12.9</v>
      </c>
      <c r="G11" s="7" t="n">
        <v>2341</v>
      </c>
    </row>
    <row r="12" ht="20" customHeight="1">
      <c r="A12" s="20" t="inlineStr">
        <is>
          <t>toys_games</t>
        </is>
      </c>
      <c r="B12" s="4" t="n">
        <v>1186463</v>
      </c>
      <c r="C12" s="4" t="n">
        <v>151704</v>
      </c>
      <c r="D12" s="4" t="n">
        <v>1034759</v>
      </c>
      <c r="E12" s="27" t="n">
        <v>87.2</v>
      </c>
      <c r="F12" s="28" t="n">
        <v>12.8</v>
      </c>
      <c r="G12" s="4" t="n">
        <v>1543</v>
      </c>
    </row>
    <row r="13" ht="20" customHeight="1">
      <c r="A13" s="21" t="inlineStr">
        <is>
          <t>garden_tools</t>
        </is>
      </c>
      <c r="B13" s="7" t="n">
        <v>1145883</v>
      </c>
      <c r="C13" s="7" t="n">
        <v>145556</v>
      </c>
      <c r="D13" s="7" t="n">
        <v>1000327</v>
      </c>
      <c r="E13" s="27" t="n">
        <v>87.3</v>
      </c>
      <c r="F13" s="29" t="n">
        <v>12.7</v>
      </c>
      <c r="G13" s="7" t="n">
        <v>1209</v>
      </c>
    </row>
    <row r="14" ht="20" customHeight="1">
      <c r="A14" s="20" t="inlineStr">
        <is>
          <t>health_wellness</t>
        </is>
      </c>
      <c r="B14" s="4" t="n">
        <v>1060487</v>
      </c>
      <c r="C14" s="4" t="n">
        <v>134483</v>
      </c>
      <c r="D14" s="4" t="n">
        <v>926004</v>
      </c>
      <c r="E14" s="27" t="n">
        <v>87.3</v>
      </c>
      <c r="F14" s="28" t="n">
        <v>12.7</v>
      </c>
      <c r="G14" s="4" t="n">
        <v>1098</v>
      </c>
    </row>
    <row r="15" ht="20" customHeight="1">
      <c r="A15" s="21" t="inlineStr">
        <is>
          <t>baby_products</t>
        </is>
      </c>
      <c r="B15" s="7" t="n">
        <v>657603</v>
      </c>
      <c r="C15" s="7" t="n">
        <v>84980</v>
      </c>
      <c r="D15" s="7" t="n">
        <v>572623</v>
      </c>
      <c r="E15" s="27" t="n">
        <v>87.09999999999999</v>
      </c>
      <c r="F15" s="29" t="n">
        <v>12.9</v>
      </c>
      <c r="G15" s="12" t="n">
        <v>823</v>
      </c>
    </row>
    <row r="16" ht="20" customHeight="1">
      <c r="A16" s="20" t="inlineStr">
        <is>
          <t>books</t>
        </is>
      </c>
      <c r="B16" s="4" t="n">
        <v>633258</v>
      </c>
      <c r="C16" s="4" t="n">
        <v>89440</v>
      </c>
      <c r="D16" s="4" t="n">
        <v>543818</v>
      </c>
      <c r="E16" s="28" t="n">
        <v>85.90000000000001</v>
      </c>
      <c r="F16" s="28" t="n">
        <v>14.1</v>
      </c>
      <c r="G16" s="4" t="n">
        <v>1432</v>
      </c>
    </row>
    <row r="17" ht="20" customHeight="1">
      <c r="A17" s="21" t="inlineStr">
        <is>
          <t>pet_supplies</t>
        </is>
      </c>
      <c r="B17" s="7" t="n">
        <v>344371</v>
      </c>
      <c r="C17" s="7" t="n">
        <v>45487</v>
      </c>
      <c r="D17" s="7" t="n">
        <v>298884</v>
      </c>
      <c r="E17" s="29" t="n">
        <v>86.8</v>
      </c>
      <c r="F17" s="29" t="n">
        <v>13.2</v>
      </c>
      <c r="G17" s="12" t="n">
        <v>654</v>
      </c>
    </row>
    <row r="18" ht="20" customHeight="1">
      <c r="A18" s="20" t="inlineStr">
        <is>
          <t>stationery</t>
        </is>
      </c>
      <c r="B18" s="4" t="n">
        <v>175405</v>
      </c>
      <c r="C18" s="4" t="n">
        <v>29531</v>
      </c>
      <c r="D18" s="4" t="n">
        <v>145874</v>
      </c>
      <c r="E18" s="30" t="n">
        <v>83.2</v>
      </c>
      <c r="F18" s="30" t="n">
        <v>16.8</v>
      </c>
      <c r="G18" s="11" t="n">
        <v>567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MONTHLY REVENUE &amp; PROFIT TREND</t>
        </is>
      </c>
    </row>
    <row r="3">
      <c r="A3" s="26" t="inlineStr">
        <is>
          <t>Month</t>
        </is>
      </c>
      <c r="B3" s="26" t="inlineStr">
        <is>
          <t>Revenue (R$)</t>
        </is>
      </c>
      <c r="C3" s="26" t="inlineStr">
        <is>
          <t>Profit (R$)</t>
        </is>
      </c>
      <c r="D3" s="26" t="inlineStr">
        <is>
          <t>Orders</t>
        </is>
      </c>
      <c r="E3" s="26" t="inlineStr">
        <is>
          <t>MoM Growth %</t>
        </is>
      </c>
    </row>
    <row r="4" ht="20" customHeight="1">
      <c r="A4" s="20" t="inlineStr">
        <is>
          <t>2022-01</t>
        </is>
      </c>
      <c r="B4" s="10" t="n">
        <v>1706115.35</v>
      </c>
      <c r="C4" s="10" t="n">
        <v>1491701.42</v>
      </c>
      <c r="D4" s="4" t="n">
        <v>1949</v>
      </c>
      <c r="E4" s="11" t="inlineStr">
        <is>
          <t>—</t>
        </is>
      </c>
    </row>
    <row r="5" ht="20" customHeight="1">
      <c r="A5" s="21" t="inlineStr">
        <is>
          <t>2022-02</t>
        </is>
      </c>
      <c r="B5" s="9" t="n">
        <v>1517297.34</v>
      </c>
      <c r="C5" s="9" t="n">
        <v>1328810.94</v>
      </c>
      <c r="D5" s="7" t="n">
        <v>1825</v>
      </c>
      <c r="E5" s="31" t="n">
        <v>-11.06713036724041</v>
      </c>
    </row>
    <row r="6" ht="20" customHeight="1">
      <c r="A6" s="20" t="inlineStr">
        <is>
          <t>2022-03</t>
        </is>
      </c>
      <c r="B6" s="10" t="n">
        <v>1899131.79</v>
      </c>
      <c r="C6" s="10" t="n">
        <v>1660223.36</v>
      </c>
      <c r="D6" s="4" t="n">
        <v>2260</v>
      </c>
      <c r="E6" s="32" t="n">
        <v>25.16543329602092</v>
      </c>
    </row>
    <row r="7" ht="20" customHeight="1">
      <c r="A7" s="21" t="inlineStr">
        <is>
          <t>2022-04</t>
        </is>
      </c>
      <c r="B7" s="9" t="n">
        <v>1934644.68</v>
      </c>
      <c r="C7" s="9" t="n">
        <v>1692396.7</v>
      </c>
      <c r="D7" s="7" t="n">
        <v>2293</v>
      </c>
      <c r="E7" s="32" t="n">
        <v>1.86995395406444</v>
      </c>
    </row>
    <row r="8" ht="20" customHeight="1">
      <c r="A8" s="20" t="inlineStr">
        <is>
          <t>2022-05</t>
        </is>
      </c>
      <c r="B8" s="10" t="n">
        <v>2065121.57</v>
      </c>
      <c r="C8" s="10" t="n">
        <v>1805531.33</v>
      </c>
      <c r="D8" s="4" t="n">
        <v>2457</v>
      </c>
      <c r="E8" s="32" t="n">
        <v>6.744230160134634</v>
      </c>
    </row>
    <row r="9" ht="20" customHeight="1">
      <c r="A9" s="21" t="inlineStr">
        <is>
          <t>2022-06</t>
        </is>
      </c>
      <c r="B9" s="9" t="n">
        <v>2180736.06</v>
      </c>
      <c r="C9" s="9" t="n">
        <v>1908458.76</v>
      </c>
      <c r="D9" s="7" t="n">
        <v>2612</v>
      </c>
      <c r="E9" s="32" t="n">
        <v>5.598435059685136</v>
      </c>
    </row>
    <row r="10" ht="20" customHeight="1">
      <c r="A10" s="20" t="inlineStr">
        <is>
          <t>2022-07</t>
        </is>
      </c>
      <c r="B10" s="10" t="n">
        <v>2442450.95</v>
      </c>
      <c r="C10" s="10" t="n">
        <v>2137831.95</v>
      </c>
      <c r="D10" s="4" t="n">
        <v>2893</v>
      </c>
      <c r="E10" s="32" t="n">
        <v>12.00121806579382</v>
      </c>
    </row>
    <row r="11" ht="20" customHeight="1">
      <c r="A11" s="21" t="inlineStr">
        <is>
          <t>2022-08</t>
        </is>
      </c>
      <c r="B11" s="9" t="n">
        <v>2380045.77</v>
      </c>
      <c r="C11" s="9" t="n">
        <v>2081764.09</v>
      </c>
      <c r="D11" s="7" t="n">
        <v>2947</v>
      </c>
      <c r="E11" s="31" t="n">
        <v>-2.555022855218448</v>
      </c>
    </row>
    <row r="12" ht="20" customHeight="1">
      <c r="A12" s="20" t="inlineStr">
        <is>
          <t>2022-09</t>
        </is>
      </c>
      <c r="B12" s="10" t="n">
        <v>2486005.74</v>
      </c>
      <c r="C12" s="10" t="n">
        <v>2168905.57</v>
      </c>
      <c r="D12" s="4" t="n">
        <v>3010</v>
      </c>
      <c r="E12" s="32" t="n">
        <v>4.452013962739887</v>
      </c>
    </row>
    <row r="13" ht="20" customHeight="1">
      <c r="A13" s="21" t="inlineStr">
        <is>
          <t>2022-10</t>
        </is>
      </c>
      <c r="B13" s="9" t="n">
        <v>2636423.76</v>
      </c>
      <c r="C13" s="9" t="n">
        <v>2306618.11</v>
      </c>
      <c r="D13" s="7" t="n">
        <v>3267</v>
      </c>
      <c r="E13" s="32" t="n">
        <v>6.050590213037865</v>
      </c>
    </row>
    <row r="14" ht="20" customHeight="1">
      <c r="A14" s="20" t="inlineStr">
        <is>
          <t>2022-11</t>
        </is>
      </c>
      <c r="B14" s="10" t="n">
        <v>2783528.25</v>
      </c>
      <c r="C14" s="10" t="n">
        <v>2433605.47</v>
      </c>
      <c r="D14" s="4" t="n">
        <v>3342</v>
      </c>
      <c r="E14" s="32" t="n">
        <v>5.579698234854336</v>
      </c>
    </row>
    <row r="15" ht="20" customHeight="1">
      <c r="A15" s="21" t="inlineStr">
        <is>
          <t>2022-12</t>
        </is>
      </c>
      <c r="B15" s="9" t="n">
        <v>2963475.99</v>
      </c>
      <c r="C15" s="9" t="n">
        <v>2591079.18</v>
      </c>
      <c r="D15" s="7" t="n">
        <v>3541</v>
      </c>
      <c r="E15" s="32" t="n">
        <v>6.464735538430411</v>
      </c>
    </row>
    <row r="16" ht="20" customHeight="1">
      <c r="A16" s="20" t="inlineStr">
        <is>
          <t>2023-01</t>
        </is>
      </c>
      <c r="B16" s="10" t="n">
        <v>2942340.23</v>
      </c>
      <c r="C16" s="10" t="n">
        <v>2577441.09</v>
      </c>
      <c r="D16" s="4" t="n">
        <v>3597</v>
      </c>
      <c r="E16" s="31" t="n">
        <v>-0.7132084103708358</v>
      </c>
    </row>
    <row r="17" ht="20" customHeight="1">
      <c r="A17" s="21" t="inlineStr">
        <is>
          <t>2023-02</t>
        </is>
      </c>
      <c r="B17" s="9" t="n">
        <v>2959894.8</v>
      </c>
      <c r="C17" s="9" t="n">
        <v>2586035.23</v>
      </c>
      <c r="D17" s="7" t="n">
        <v>3505</v>
      </c>
      <c r="E17" s="32" t="n">
        <v>0.596619310745039</v>
      </c>
    </row>
    <row r="18" ht="20" customHeight="1">
      <c r="A18" s="20" t="inlineStr">
        <is>
          <t>2023-03</t>
        </is>
      </c>
      <c r="B18" s="10" t="n">
        <v>3243757.59</v>
      </c>
      <c r="C18" s="10" t="n">
        <v>2834409.43</v>
      </c>
      <c r="D18" s="4" t="n">
        <v>3988</v>
      </c>
      <c r="E18" s="32" t="n">
        <v>9.590299966066372</v>
      </c>
    </row>
    <row r="19" ht="20" customHeight="1">
      <c r="A19" s="21" t="inlineStr">
        <is>
          <t>2023-04</t>
        </is>
      </c>
      <c r="B19" s="9" t="n">
        <v>3383013.45</v>
      </c>
      <c r="C19" s="9" t="n">
        <v>2955431</v>
      </c>
      <c r="D19" s="7" t="n">
        <v>4106</v>
      </c>
      <c r="E19" s="32" t="n">
        <v>4.293041515472806</v>
      </c>
    </row>
    <row r="20" ht="20" customHeight="1">
      <c r="A20" s="20" t="inlineStr">
        <is>
          <t>2023-05</t>
        </is>
      </c>
      <c r="B20" s="10" t="n">
        <v>3589371.88</v>
      </c>
      <c r="C20" s="10" t="n">
        <v>3141939.99</v>
      </c>
      <c r="D20" s="4" t="n">
        <v>4314</v>
      </c>
      <c r="E20" s="32" t="n">
        <v>6.099840661289702</v>
      </c>
    </row>
    <row r="21" ht="20" customHeight="1">
      <c r="A21" s="21" t="inlineStr">
        <is>
          <t>2023-06</t>
        </is>
      </c>
      <c r="B21" s="9" t="n">
        <v>3529975.44</v>
      </c>
      <c r="C21" s="9" t="n">
        <v>3084363.48</v>
      </c>
      <c r="D21" s="7" t="n">
        <v>4320</v>
      </c>
      <c r="E21" s="31" t="n">
        <v>-1.654786463641655</v>
      </c>
    </row>
    <row r="22" ht="20" customHeight="1">
      <c r="A22" s="20" t="inlineStr">
        <is>
          <t>2023-07</t>
        </is>
      </c>
      <c r="B22" s="10" t="n">
        <v>3859653.28</v>
      </c>
      <c r="C22" s="10" t="n">
        <v>3373496.96</v>
      </c>
      <c r="D22" s="4" t="n">
        <v>4624</v>
      </c>
      <c r="E22" s="32" t="n">
        <v>9.339380559542931</v>
      </c>
    </row>
    <row r="23" ht="20" customHeight="1">
      <c r="A23" s="21" t="inlineStr">
        <is>
          <t>2023-08</t>
        </is>
      </c>
      <c r="B23" s="9" t="n">
        <v>4018277.36</v>
      </c>
      <c r="C23" s="9" t="n">
        <v>3514828.88</v>
      </c>
      <c r="D23" s="7" t="n">
        <v>4708</v>
      </c>
      <c r="E23" s="32" t="n">
        <v>4.109801282461323</v>
      </c>
    </row>
    <row r="24" ht="20" customHeight="1">
      <c r="A24" s="20" t="inlineStr">
        <is>
          <t>2023-09</t>
        </is>
      </c>
      <c r="B24" s="10" t="n">
        <v>4066877.97</v>
      </c>
      <c r="C24" s="10" t="n">
        <v>3559822.36</v>
      </c>
      <c r="D24" s="4" t="n">
        <v>4749</v>
      </c>
      <c r="E24" s="32" t="n">
        <v>1.209488684972215</v>
      </c>
    </row>
    <row r="25" ht="20" customHeight="1">
      <c r="A25" s="21" t="inlineStr">
        <is>
          <t>2023-10</t>
        </is>
      </c>
      <c r="B25" s="9" t="n">
        <v>4450629.9</v>
      </c>
      <c r="C25" s="9" t="n">
        <v>3895890.04</v>
      </c>
      <c r="D25" s="7" t="n">
        <v>5207</v>
      </c>
      <c r="E25" s="32" t="n">
        <v>9.436032574146802</v>
      </c>
    </row>
    <row r="26" ht="20" customHeight="1">
      <c r="A26" s="20" t="inlineStr">
        <is>
          <t>2023-11</t>
        </is>
      </c>
      <c r="B26" s="10" t="n">
        <v>4324324.62</v>
      </c>
      <c r="C26" s="10" t="n">
        <v>3781858.96</v>
      </c>
      <c r="D26" s="4" t="n">
        <v>5135</v>
      </c>
      <c r="E26" s="31" t="n">
        <v>-2.837919189820759</v>
      </c>
    </row>
    <row r="27" ht="20" customHeight="1">
      <c r="A27" s="21" t="inlineStr">
        <is>
          <t>2023-12</t>
        </is>
      </c>
      <c r="B27" s="9" t="n">
        <v>4369403.6</v>
      </c>
      <c r="C27" s="9" t="n">
        <v>3818399.04</v>
      </c>
      <c r="D27" s="7" t="n">
        <v>5097</v>
      </c>
      <c r="E27" s="32" t="n">
        <v>1.042451341222384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WHAT-IF ANALYSIS — SENSITIVITY TABLE</t>
        </is>
      </c>
    </row>
    <row r="3">
      <c r="A3" s="33" t="inlineStr">
        <is>
          <t>Change the YELLOW cells to model different business scenarios.</t>
        </is>
      </c>
    </row>
    <row r="5">
      <c r="A5" s="2" t="inlineStr">
        <is>
          <t>INPUT ASSUMPTIONS</t>
        </is>
      </c>
    </row>
    <row r="6" ht="22" customHeight="1">
      <c r="A6" s="34" t="inlineStr">
        <is>
          <t>Base Annual Revenue (R$)</t>
        </is>
      </c>
      <c r="B6" s="35" t="n">
        <v>35866249</v>
      </c>
      <c r="C6" s="36" t="inlineStr">
        <is>
          <t>← Change this value</t>
        </is>
      </c>
    </row>
    <row r="7" ht="22" customHeight="1">
      <c r="A7" s="34" t="inlineStr">
        <is>
          <t>Base Freight Cost as % of Revenue</t>
        </is>
      </c>
      <c r="B7" s="37" t="n">
        <v>12.5</v>
      </c>
      <c r="C7" s="36" t="inlineStr">
        <is>
          <t>← Change this value</t>
        </is>
      </c>
    </row>
    <row r="8" ht="22" customHeight="1">
      <c r="A8" s="34" t="inlineStr">
        <is>
          <t>Base Repeat Purchase Rate %</t>
        </is>
      </c>
      <c r="B8" s="37" t="n">
        <v>99.90000000000001</v>
      </c>
      <c r="C8" s="36" t="inlineStr">
        <is>
          <t>← Change this value</t>
        </is>
      </c>
    </row>
    <row r="9" ht="22" customHeight="1">
      <c r="A9" s="34" t="inlineStr">
        <is>
          <t>Average Order Value (R$)</t>
        </is>
      </c>
      <c r="B9" s="35" t="n">
        <v>837</v>
      </c>
      <c r="C9" s="36" t="inlineStr">
        <is>
          <t>← Change this value</t>
        </is>
      </c>
    </row>
    <row r="10" ht="22" customHeight="1">
      <c r="A10" s="34" t="inlineStr">
        <is>
          <t>Total Customers</t>
        </is>
      </c>
      <c r="B10" s="35" t="n">
        <v>9998</v>
      </c>
      <c r="C10" s="36" t="inlineStr">
        <is>
          <t>← Change this value</t>
        </is>
      </c>
    </row>
    <row r="11" ht="22" customHeight="1">
      <c r="A11" s="34" t="inlineStr">
        <is>
          <t>New Customer Acquisition Cost (R$)</t>
        </is>
      </c>
      <c r="B11" s="35" t="n">
        <v>50</v>
      </c>
      <c r="C11" s="36" t="inlineStr">
        <is>
          <t>← Change this value</t>
        </is>
      </c>
    </row>
    <row r="14">
      <c r="A14" s="2" t="inlineStr">
        <is>
          <t>CALCULATED OUTPUTS</t>
        </is>
      </c>
    </row>
    <row r="15" ht="22" customHeight="1">
      <c r="A15" s="38" t="inlineStr">
        <is>
          <t>Annual Freight Cost (R$)</t>
        </is>
      </c>
      <c r="B15" s="39">
        <f>B6*B7/100</f>
        <v/>
      </c>
      <c r="C15" s="40" t="inlineStr">
        <is>
          <t>Revenue × Freight %</t>
        </is>
      </c>
    </row>
    <row r="16" ht="22" customHeight="1">
      <c r="A16" s="38" t="inlineStr">
        <is>
          <t>Annual Profit Estimate (R$)</t>
        </is>
      </c>
      <c r="B16" s="39">
        <f>B6-B14</f>
        <v/>
      </c>
      <c r="C16" s="40" t="inlineStr">
        <is>
          <t>Revenue − Freight</t>
        </is>
      </c>
    </row>
    <row r="17" ht="22" customHeight="1">
      <c r="A17" s="38" t="inlineStr">
        <is>
          <t>Annual Profit Margin %</t>
        </is>
      </c>
      <c r="B17" s="39">
        <f>B15/B6*100</f>
        <v/>
      </c>
      <c r="C17" s="40" t="inlineStr">
        <is>
          <t>(Profit/Revenue)×100</t>
        </is>
      </c>
    </row>
    <row r="18" ht="22" customHeight="1">
      <c r="A18" s="38" t="inlineStr">
        <is>
          <t>Revenue per Customer (R$)</t>
        </is>
      </c>
      <c r="B18" s="39">
        <f>B6/B10</f>
        <v/>
      </c>
      <c r="C18" s="40" t="inlineStr">
        <is>
          <t>Revenue ÷ Customers</t>
        </is>
      </c>
    </row>
    <row r="19" ht="22" customHeight="1">
      <c r="A19" s="38" t="inlineStr">
        <is>
          <t>Total CAC Spend (R$)</t>
        </is>
      </c>
      <c r="B19" s="39">
        <f>B10*B11</f>
        <v/>
      </c>
      <c r="C19" s="40" t="inlineStr">
        <is>
          <t>Customers × CAC</t>
        </is>
      </c>
    </row>
    <row r="20" ht="22" customHeight="1">
      <c r="A20" s="38" t="inlineStr">
        <is>
          <t>Net Profit after CAC (R$)</t>
        </is>
      </c>
      <c r="B20" s="39">
        <f>B15-B17</f>
        <v/>
      </c>
      <c r="C20" s="40" t="inlineStr">
        <is>
          <t>Profit − CAC spend</t>
        </is>
      </c>
    </row>
  </sheetData>
  <mergeCells count="4">
    <mergeCell ref="A1:D1"/>
    <mergeCell ref="A14:D14"/>
    <mergeCell ref="A3:D3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2026-03-07T15:35:57Z</dcterms:created>
  <dcterms:modified xmlns:dcterms="http://purl.org/dc/terms/" xmlns:xsi="http://www.w3.org/2001/XMLSchema-instance" xsi:type="dcterms:W3CDTF">2026-03-07T15:35:57Z</dcterms:modified>
</cp:coreProperties>
</file>